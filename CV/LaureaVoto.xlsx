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esktop\University\Magistrale (Ingegneria_dell'Automazione)\"/>
    </mc:Choice>
  </mc:AlternateContent>
  <xr:revisionPtr revIDLastSave="0" documentId="13_ncr:1_{4F6BCB5D-650F-4158-B66E-D074074C799A}" xr6:coauthVersionLast="47" xr6:coauthVersionMax="47" xr10:uidLastSave="{00000000-0000-0000-0000-000000000000}"/>
  <bookViews>
    <workbookView xWindow="-108" yWindow="-108" windowWidth="23256" windowHeight="12456" xr2:uid="{0562CEDE-89E4-4D6D-B956-3FE22983E5C4}"/>
  </bookViews>
  <sheets>
    <sheet name="Foglio1" sheetId="1" r:id="rId1"/>
  </sheets>
  <definedNames>
    <definedName name="solver_adj" localSheetId="0" hidden="1">Foglio1!$D$3:$D$15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Foglio1!$D$3:$D$15</definedName>
    <definedName name="solver_lhs10" localSheetId="0" hidden="1">Foglio1!$I$16</definedName>
    <definedName name="solver_lhs2" localSheetId="0" hidden="1">Foglio1!$H$12:$H$13</definedName>
    <definedName name="solver_lhs3" localSheetId="0" hidden="1">Foglio1!$H$12:$H$15</definedName>
    <definedName name="solver_lhs4" localSheetId="0" hidden="1">Foglio1!$H$14</definedName>
    <definedName name="solver_lhs5" localSheetId="0" hidden="1">Foglio1!$H$15</definedName>
    <definedName name="solver_lhs6" localSheetId="0" hidden="1">Foglio1!$H$3:$H$7</definedName>
    <definedName name="solver_lhs7" localSheetId="0" hidden="1">Foglio1!$H$8</definedName>
    <definedName name="solver_lhs8" localSheetId="0" hidden="1">Foglio1!$H$8</definedName>
    <definedName name="solver_lhs9" localSheetId="0" hidden="1">Foglio1!$H$9:$H$11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Foglio1!$I$16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10" localSheetId="0" hidden="1">3</definedName>
    <definedName name="solver_rel2" localSheetId="0" hidden="1">3</definedName>
    <definedName name="solver_rel3" localSheetId="0" hidden="1">1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1</definedName>
    <definedName name="solver_rel8" localSheetId="0" hidden="1">3</definedName>
    <definedName name="solver_rel9" localSheetId="0" hidden="1">2</definedName>
    <definedName name="solver_rhs1" localSheetId="0" hidden="1">"intero"</definedName>
    <definedName name="solver_rhs10" localSheetId="0" hidden="1">Foglio1!$K$16</definedName>
    <definedName name="solver_rhs2" localSheetId="0" hidden="1">Foglio1!$J$12:$J$13</definedName>
    <definedName name="solver_rhs3" localSheetId="0" hidden="1">Foglio1!$L$12:$L$15</definedName>
    <definedName name="solver_rhs4" localSheetId="0" hidden="1">Foglio1!$J$14</definedName>
    <definedName name="solver_rhs5" localSheetId="0" hidden="1">Foglio1!$J$15</definedName>
    <definedName name="solver_rhs6" localSheetId="0" hidden="1">Foglio1!$J$3:$J$7</definedName>
    <definedName name="solver_rhs7" localSheetId="0" hidden="1">Foglio1!$L$8</definedName>
    <definedName name="solver_rhs8" localSheetId="0" hidden="1">Foglio1!$J$8</definedName>
    <definedName name="solver_rhs9" localSheetId="0" hidden="1">Foglio1!$J$9:$J$11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D20" i="1"/>
  <c r="D21" i="1" s="1"/>
  <c r="D22" i="1" s="1"/>
  <c r="H15" i="1"/>
  <c r="H14" i="1"/>
  <c r="H5" i="1"/>
  <c r="H6" i="1"/>
  <c r="H7" i="1"/>
  <c r="H8" i="1"/>
  <c r="H9" i="1"/>
  <c r="H11" i="1"/>
  <c r="H12" i="1"/>
  <c r="H13" i="1"/>
  <c r="H4" i="1"/>
  <c r="H3" i="1"/>
  <c r="I16" i="1" l="1"/>
</calcChain>
</file>

<file path=xl/sharedStrings.xml><?xml version="1.0" encoding="utf-8"?>
<sst xmlns="http://schemas.openxmlformats.org/spreadsheetml/2006/main" count="47" uniqueCount="23">
  <si>
    <t>voto:</t>
  </si>
  <si>
    <t>Esame:</t>
  </si>
  <si>
    <t>DST</t>
  </si>
  <si>
    <t>DMDAS</t>
  </si>
  <si>
    <t>IoT</t>
  </si>
  <si>
    <t>Estimation</t>
  </si>
  <si>
    <t>Digital Business</t>
  </si>
  <si>
    <t>Embedded</t>
  </si>
  <si>
    <t>Optimization</t>
  </si>
  <si>
    <t>Statistical Methods</t>
  </si>
  <si>
    <t>ML and AI</t>
  </si>
  <si>
    <t>cfu:</t>
  </si>
  <si>
    <t>Electric Drives</t>
  </si>
  <si>
    <t>MPC</t>
  </si>
  <si>
    <t>Robotics</t>
  </si>
  <si>
    <t>DMI</t>
  </si>
  <si>
    <t>vincoli</t>
  </si>
  <si>
    <t>=</t>
  </si>
  <si>
    <t>&gt;=</t>
  </si>
  <si>
    <t>&lt;=</t>
  </si>
  <si>
    <t>Media Pesata:</t>
  </si>
  <si>
    <t>Voto di Laurea:</t>
  </si>
  <si>
    <t>+Bonus: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</si>
</sst>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quotePrefix="1" applyFill="1" applyBorder="1"/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8BB6-29F6-4B15-86E6-F2325640F22B}">
  <dimension ref="C2:L22"/>
  <sheetViews>
    <sheetView tabSelected="1" workbookViewId="0">
      <selection activeCell="D23" sqref="D23"/>
    </sheetView>
  </sheetViews>
  <sheetFormatPr defaultRowHeight="14.4" x14ac:dyDescent="0.3"/>
  <cols>
    <col min="3" max="3" width="16.21875" bestFit="1" customWidth="1"/>
  </cols>
  <sheetData>
    <row r="2" spans="3:12" x14ac:dyDescent="0.3">
      <c r="C2" s="2" t="s">
        <v>1</v>
      </c>
      <c r="D2" s="2" t="s">
        <v>0</v>
      </c>
      <c r="E2" s="2" t="s">
        <v>11</v>
      </c>
      <c r="H2" s="9" t="s">
        <v>16</v>
      </c>
      <c r="I2" s="9"/>
      <c r="J2" s="9"/>
      <c r="K2" s="9"/>
      <c r="L2" s="9"/>
    </row>
    <row r="3" spans="3:12" x14ac:dyDescent="0.3">
      <c r="C3" s="3" t="s">
        <v>2</v>
      </c>
      <c r="D3" s="3">
        <v>28</v>
      </c>
      <c r="E3" s="3">
        <v>6</v>
      </c>
      <c r="H3" s="3">
        <f t="shared" ref="H3:H15" si="0">D3</f>
        <v>28</v>
      </c>
      <c r="I3" s="3" t="s">
        <v>17</v>
      </c>
      <c r="J3" s="3">
        <v>28</v>
      </c>
      <c r="K3" s="3" t="s">
        <v>19</v>
      </c>
      <c r="L3" s="3">
        <v>30</v>
      </c>
    </row>
    <row r="4" spans="3:12" x14ac:dyDescent="0.3">
      <c r="C4" s="3" t="s">
        <v>3</v>
      </c>
      <c r="D4" s="3">
        <v>28</v>
      </c>
      <c r="E4" s="3">
        <v>6</v>
      </c>
      <c r="H4" s="3">
        <f t="shared" si="0"/>
        <v>28</v>
      </c>
      <c r="I4" s="3" t="s">
        <v>17</v>
      </c>
      <c r="J4" s="3">
        <v>28</v>
      </c>
      <c r="K4" s="3" t="s">
        <v>19</v>
      </c>
      <c r="L4" s="3">
        <v>30</v>
      </c>
    </row>
    <row r="5" spans="3:12" x14ac:dyDescent="0.3">
      <c r="C5" s="3" t="s">
        <v>4</v>
      </c>
      <c r="D5" s="3">
        <v>28</v>
      </c>
      <c r="E5" s="3">
        <v>6</v>
      </c>
      <c r="H5" s="3">
        <f t="shared" si="0"/>
        <v>28</v>
      </c>
      <c r="I5" s="3" t="s">
        <v>17</v>
      </c>
      <c r="J5" s="3">
        <v>28</v>
      </c>
      <c r="K5" s="3" t="s">
        <v>19</v>
      </c>
      <c r="L5" s="3">
        <v>30</v>
      </c>
    </row>
    <row r="6" spans="3:12" x14ac:dyDescent="0.3">
      <c r="C6" s="3" t="s">
        <v>5</v>
      </c>
      <c r="D6" s="3">
        <v>27</v>
      </c>
      <c r="E6" s="3">
        <v>6</v>
      </c>
      <c r="H6" s="3">
        <f t="shared" si="0"/>
        <v>27</v>
      </c>
      <c r="I6" s="3" t="s">
        <v>17</v>
      </c>
      <c r="J6" s="3">
        <v>27</v>
      </c>
      <c r="K6" s="3" t="s">
        <v>19</v>
      </c>
      <c r="L6" s="3">
        <v>30</v>
      </c>
    </row>
    <row r="7" spans="3:12" x14ac:dyDescent="0.3">
      <c r="C7" s="3" t="s">
        <v>6</v>
      </c>
      <c r="D7" s="3">
        <v>26</v>
      </c>
      <c r="E7" s="3">
        <v>6</v>
      </c>
      <c r="H7" s="3">
        <f t="shared" si="0"/>
        <v>26</v>
      </c>
      <c r="I7" s="3" t="s">
        <v>17</v>
      </c>
      <c r="J7" s="3">
        <v>26</v>
      </c>
      <c r="K7" s="3" t="s">
        <v>19</v>
      </c>
      <c r="L7" s="3">
        <v>30</v>
      </c>
    </row>
    <row r="8" spans="3:12" x14ac:dyDescent="0.3">
      <c r="C8" s="3" t="s">
        <v>7</v>
      </c>
      <c r="D8" s="3">
        <v>30</v>
      </c>
      <c r="E8" s="3">
        <v>6</v>
      </c>
      <c r="H8" s="3">
        <f t="shared" si="0"/>
        <v>30</v>
      </c>
      <c r="I8" s="3" t="s">
        <v>18</v>
      </c>
      <c r="J8" s="3">
        <v>18</v>
      </c>
      <c r="K8" s="3" t="s">
        <v>19</v>
      </c>
      <c r="L8" s="3">
        <v>30</v>
      </c>
    </row>
    <row r="9" spans="3:12" x14ac:dyDescent="0.3">
      <c r="C9" s="3" t="s">
        <v>8</v>
      </c>
      <c r="D9" s="3">
        <v>25</v>
      </c>
      <c r="E9" s="3">
        <v>6</v>
      </c>
      <c r="H9" s="3">
        <f t="shared" si="0"/>
        <v>25</v>
      </c>
      <c r="I9" s="3" t="s">
        <v>17</v>
      </c>
      <c r="J9" s="3">
        <v>25</v>
      </c>
      <c r="K9" s="3" t="s">
        <v>19</v>
      </c>
      <c r="L9" s="3">
        <v>30</v>
      </c>
    </row>
    <row r="10" spans="3:12" x14ac:dyDescent="0.3">
      <c r="C10" s="3" t="s">
        <v>9</v>
      </c>
      <c r="D10" s="3">
        <v>30</v>
      </c>
      <c r="E10" s="3">
        <v>6</v>
      </c>
      <c r="H10" s="3">
        <f>D10</f>
        <v>30</v>
      </c>
      <c r="I10" s="7" t="s">
        <v>17</v>
      </c>
      <c r="J10" s="3">
        <v>30</v>
      </c>
      <c r="K10" s="3" t="s">
        <v>19</v>
      </c>
      <c r="L10" s="3">
        <v>30</v>
      </c>
    </row>
    <row r="11" spans="3:12" x14ac:dyDescent="0.3">
      <c r="C11" s="3" t="s">
        <v>10</v>
      </c>
      <c r="D11" s="3">
        <v>23</v>
      </c>
      <c r="E11" s="3">
        <v>12</v>
      </c>
      <c r="H11" s="3">
        <f t="shared" si="0"/>
        <v>23</v>
      </c>
      <c r="I11" s="3" t="s">
        <v>17</v>
      </c>
      <c r="J11" s="3">
        <v>23</v>
      </c>
      <c r="K11" s="3" t="s">
        <v>19</v>
      </c>
      <c r="L11" s="3">
        <v>30</v>
      </c>
    </row>
    <row r="12" spans="3:12" x14ac:dyDescent="0.3">
      <c r="C12" s="3" t="s">
        <v>12</v>
      </c>
      <c r="D12" s="3">
        <v>30</v>
      </c>
      <c r="E12" s="3">
        <v>12</v>
      </c>
      <c r="H12" s="3">
        <f t="shared" si="0"/>
        <v>30</v>
      </c>
      <c r="I12" s="3" t="s">
        <v>18</v>
      </c>
      <c r="J12" s="3">
        <v>18</v>
      </c>
      <c r="K12" s="3" t="s">
        <v>19</v>
      </c>
      <c r="L12" s="3">
        <v>30</v>
      </c>
    </row>
    <row r="13" spans="3:12" x14ac:dyDescent="0.3">
      <c r="C13" s="3" t="s">
        <v>15</v>
      </c>
      <c r="D13" s="3">
        <v>25</v>
      </c>
      <c r="E13" s="3">
        <v>6</v>
      </c>
      <c r="H13" s="3">
        <f t="shared" si="0"/>
        <v>25</v>
      </c>
      <c r="I13" s="3" t="s">
        <v>18</v>
      </c>
      <c r="J13" s="3">
        <v>18</v>
      </c>
      <c r="K13" s="3" t="s">
        <v>19</v>
      </c>
      <c r="L13" s="3">
        <v>30</v>
      </c>
    </row>
    <row r="14" spans="3:12" x14ac:dyDescent="0.3">
      <c r="C14" s="3" t="s">
        <v>13</v>
      </c>
      <c r="D14" s="3">
        <v>27</v>
      </c>
      <c r="E14" s="3">
        <v>6</v>
      </c>
      <c r="H14" s="3">
        <f t="shared" si="0"/>
        <v>27</v>
      </c>
      <c r="I14" s="3" t="s">
        <v>17</v>
      </c>
      <c r="J14" s="3">
        <v>27</v>
      </c>
      <c r="K14" s="3" t="s">
        <v>19</v>
      </c>
      <c r="L14" s="3">
        <v>30</v>
      </c>
    </row>
    <row r="15" spans="3:12" x14ac:dyDescent="0.3">
      <c r="C15" s="3" t="s">
        <v>14</v>
      </c>
      <c r="D15" s="3">
        <v>21</v>
      </c>
      <c r="E15" s="3">
        <v>3</v>
      </c>
      <c r="H15" s="3">
        <f t="shared" si="0"/>
        <v>21</v>
      </c>
      <c r="I15" s="3" t="s">
        <v>17</v>
      </c>
      <c r="J15" s="3">
        <v>21</v>
      </c>
      <c r="K15" s="3" t="s">
        <v>19</v>
      </c>
      <c r="L15" s="3">
        <v>30</v>
      </c>
    </row>
    <row r="16" spans="3:12" x14ac:dyDescent="0.3">
      <c r="I16" s="3">
        <f>D22</f>
        <v>109.60931034482759</v>
      </c>
      <c r="J16" s="3" t="s">
        <v>18</v>
      </c>
      <c r="K16" s="3">
        <v>109.5</v>
      </c>
    </row>
    <row r="17" spans="3:11" x14ac:dyDescent="0.3">
      <c r="I17" s="8"/>
      <c r="J17" s="8"/>
      <c r="K17" s="8"/>
    </row>
    <row r="20" spans="3:11" x14ac:dyDescent="0.3">
      <c r="C20" s="4" t="s">
        <v>20</v>
      </c>
      <c r="D20" s="1">
        <f>SUMPRODUCT(D3:D15,E3:E15)/SUM(E3:E15)</f>
        <v>26.931034482758619</v>
      </c>
    </row>
    <row r="21" spans="3:11" x14ac:dyDescent="0.3">
      <c r="C21" s="5" t="s">
        <v>21</v>
      </c>
      <c r="D21" s="1">
        <f>D20*110/30</f>
        <v>98.747126436781599</v>
      </c>
    </row>
    <row r="22" spans="3:11" x14ac:dyDescent="0.3">
      <c r="C22" s="6" t="s">
        <v>22</v>
      </c>
      <c r="D22" s="1">
        <f>D21*1.11</f>
        <v>109.60931034482759</v>
      </c>
    </row>
  </sheetData>
  <mergeCells count="1"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LENA STEFANO</dc:creator>
  <cp:lastModifiedBy>DI LENA STEFANO</cp:lastModifiedBy>
  <dcterms:created xsi:type="dcterms:W3CDTF">2025-06-12T12:29:16Z</dcterms:created>
  <dcterms:modified xsi:type="dcterms:W3CDTF">2026-02-16T16:19:36Z</dcterms:modified>
</cp:coreProperties>
</file>